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envolvimento\portifolio\projetos\01-dashboard-orcamentario\"/>
    </mc:Choice>
  </mc:AlternateContent>
  <xr:revisionPtr revIDLastSave="0" documentId="13_ncr:1_{574257AC-A7BE-475E-91B3-E0F8D32B803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dos" sheetId="1" r:id="rId1"/>
    <sheet name="Dashboard" sheetId="2" r:id="rId2"/>
    <sheet name="Instruçõ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2" l="1"/>
  <c r="C16" i="2"/>
  <c r="C14" i="2"/>
  <c r="B13" i="2"/>
  <c r="C10" i="2"/>
  <c r="M5" i="2"/>
  <c r="L22" i="1"/>
  <c r="J22" i="1"/>
  <c r="H22" i="1"/>
  <c r="F22" i="1"/>
  <c r="D22" i="1"/>
  <c r="B22" i="1"/>
  <c r="M20" i="1"/>
  <c r="M22" i="1" s="1"/>
  <c r="L20" i="1"/>
  <c r="B20" i="2" s="1"/>
  <c r="D20" i="2" s="1"/>
  <c r="K20" i="1"/>
  <c r="K22" i="1" s="1"/>
  <c r="J20" i="1"/>
  <c r="B18" i="2" s="1"/>
  <c r="I20" i="1"/>
  <c r="I22" i="1" s="1"/>
  <c r="H20" i="1"/>
  <c r="B16" i="2" s="1"/>
  <c r="G20" i="1"/>
  <c r="B15" i="2" s="1"/>
  <c r="F20" i="1"/>
  <c r="B14" i="2" s="1"/>
  <c r="E20" i="1"/>
  <c r="E22" i="1" s="1"/>
  <c r="D20" i="1"/>
  <c r="B12" i="2" s="1"/>
  <c r="D12" i="2" s="1"/>
  <c r="C20" i="1"/>
  <c r="C22" i="1" s="1"/>
  <c r="B20" i="1"/>
  <c r="B10" i="2" s="1"/>
  <c r="N19" i="1"/>
  <c r="N18" i="1"/>
  <c r="N17" i="1"/>
  <c r="N20" i="1" s="1"/>
  <c r="M14" i="1"/>
  <c r="C21" i="2" s="1"/>
  <c r="L14" i="1"/>
  <c r="C20" i="2" s="1"/>
  <c r="K14" i="1"/>
  <c r="C19" i="2" s="1"/>
  <c r="J14" i="1"/>
  <c r="I14" i="1"/>
  <c r="C17" i="2" s="1"/>
  <c r="H14" i="1"/>
  <c r="G14" i="1"/>
  <c r="C15" i="2" s="1"/>
  <c r="E15" i="2" s="1"/>
  <c r="F14" i="1"/>
  <c r="E14" i="1"/>
  <c r="C13" i="2" s="1"/>
  <c r="E13" i="2" s="1"/>
  <c r="D14" i="1"/>
  <c r="C12" i="2" s="1"/>
  <c r="E12" i="2" s="1"/>
  <c r="C14" i="1"/>
  <c r="C11" i="2" s="1"/>
  <c r="B14" i="1"/>
  <c r="N13" i="1"/>
  <c r="N12" i="1"/>
  <c r="N11" i="1"/>
  <c r="N10" i="1"/>
  <c r="N9" i="1"/>
  <c r="N8" i="1"/>
  <c r="N7" i="1"/>
  <c r="N6" i="1"/>
  <c r="N14" i="1" s="1"/>
  <c r="E5" i="2" s="1"/>
  <c r="C22" i="2" l="1"/>
  <c r="D10" i="2"/>
  <c r="E10" i="2"/>
  <c r="E21" i="2"/>
  <c r="D14" i="2"/>
  <c r="E14" i="2"/>
  <c r="D13" i="2"/>
  <c r="A5" i="2"/>
  <c r="N22" i="1"/>
  <c r="I5" i="2" s="1"/>
  <c r="D15" i="2"/>
  <c r="E20" i="2"/>
  <c r="D16" i="2"/>
  <c r="E16" i="2"/>
  <c r="D18" i="2"/>
  <c r="E18" i="2"/>
  <c r="B21" i="2"/>
  <c r="D21" i="2" s="1"/>
  <c r="G22" i="1"/>
  <c r="B11" i="2"/>
  <c r="D11" i="2" s="1"/>
  <c r="B17" i="2"/>
  <c r="D17" i="2" s="1"/>
  <c r="B19" i="2"/>
  <c r="D19" i="2" s="1"/>
  <c r="E19" i="2" l="1"/>
  <c r="E11" i="2"/>
  <c r="B22" i="2"/>
  <c r="D22" i="2"/>
  <c r="E17" i="2"/>
  <c r="E22" i="2"/>
</calcChain>
</file>

<file path=xl/sharedStrings.xml><?xml version="1.0" encoding="utf-8"?>
<sst xmlns="http://schemas.openxmlformats.org/spreadsheetml/2006/main" count="66" uniqueCount="53">
  <si>
    <t>CONTROLE ORÇAMENTÁRIO — PROJETO SOCIAL 2025</t>
  </si>
  <si>
    <t>Dados de Receitas e Despesas por Categoria e Mês</t>
  </si>
  <si>
    <t>Categoria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</si>
  <si>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</si>
  <si>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</si>
  <si>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</si>
  <si>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</si>
  <si>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</si>
  <si>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</si>
  <si>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</si>
  <si>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</si>
  <si>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</si>
  <si>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</si>
  <si>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</si>
  <si>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</si>
  <si>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</si>
  <si>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▼  DESPESAS</t>
  </si>
  <si>
    <t>Pessoal</t>
  </si>
  <si>
    <t>Infraestrutura</t>
  </si>
  <si>
    <t>Materiais</t>
  </si>
  <si>
    <t>Capacitação</t>
  </si>
  <si>
    <t>Comunicação</t>
  </si>
  <si>
    <t>Transporte</t>
  </si>
  <si>
    <t>Administrativo</t>
  </si>
  <si>
    <t>Imprevisto</t>
  </si>
  <si>
    <t>TOTAL DESPESAS</t>
  </si>
  <si>
    <t>▼  RECEITAS</t>
  </si>
  <si>
    <t>Doação Institucional</t>
  </si>
  <si>
    <t>Editais/Projetos</t>
  </si>
  <si>
    <t>Captação Própria</t>
  </si>
  <si>
    <t>TOTAL RECEITAS</t>
  </si>
  <si>
    <t>SALDO (Rec. - Desp.)</t>
  </si>
  <si>
    <t>📊  DASHBOARD ORÇAMENTÁRIO — PROJETO SOCIAL 2025</t>
  </si>
  <si>
    <t>Painel de Acompanhamento Financeiro · Atualização Automática</t>
  </si>
  <si>
    <t>TOTAL RECEITAS (ANO)</t>
  </si>
  <si>
    <t>TOTAL DESPESAS (ANO)</t>
  </si>
  <si>
    <t>SALDO DO ANO</t>
  </si>
  <si>
    <t>MAIOR DESPESA</t>
  </si>
  <si>
    <t>RESUMO MENSAL — RECEITAS × DESPESAS × SALDO</t>
  </si>
  <si>
    <t>Mês</t>
  </si>
  <si>
    <t>Total Receitas</t>
  </si>
  <si>
    <t>Total Despesas</t>
  </si>
  <si>
    <t>Saldo</t>
  </si>
  <si>
    <t>% Execução Orç.</t>
  </si>
  <si>
    <t>COMO USAR ESTA PLANILHA</t>
  </si>
  <si>
    <t>1. INSERIR DADOS</t>
  </si>
  <si>
    <t>Acesse a aba 'Dados'. Preencha os valores mensais por categoria nas colunas B a M.
Não altere as fórmulas nas colunas de TOTAL e linhas de TOTAIS.</t>
  </si>
  <si>
    <t>2. VISUALIZAR O DASHBOARD</t>
  </si>
  <si>
    <t>Acesse a aba 'Dashboard' para ver automaticamente os KPIs, a tabela resumo e os gráficos atualizados com os dados inseridos.</t>
  </si>
  <si>
    <t>3. ADICIONAR CATEGORIAS</t>
  </si>
  <si>
    <t>Para incluir uma nova categoria de despesa ou receita, insira uma nova linha na seção correspondente na aba 'Dados' e copie o formato das linhas vizinhas.</t>
  </si>
  <si>
    <t>4. CORES E CONVENÇÕES</t>
  </si>
  <si>
    <t>Azul escuro = totais e cabeçalhos | Âmbar/amarelo = totais de despesa | Verde = totais de receita | Azul claro = subtotais por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</si>
</sst>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&quot;R$ &quot;#,##0.00;&quot;(R$ &quot;#,##0.00\);\-"/>
    <numFmt numFmtId="166" formatCode="&quot;R$ &quot;#,##0"/>
    <numFmt numFmtId="167" formatCode="0.0%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6"/>
      <color rgb="FFFFFFFF"/>
      <name val="Arial"/>
      <family val="2"/>
    </font>
    <font>
      <sz val="9"/>
      <color rgb="FFFFFFFF"/>
      <name val="Arial"/>
      <family val="2"/>
    </font>
    <font>
      <b/>
      <sz val="20"/>
      <color rgb="FF70AD47"/>
      <name val="Arial"/>
      <family val="2"/>
    </font>
    <font>
      <b/>
      <sz val="20"/>
      <color rgb="FFC00000"/>
      <name val="Arial"/>
      <family val="2"/>
    </font>
    <font>
      <b/>
      <sz val="20"/>
      <color rgb="FF2E5597"/>
      <name val="Arial"/>
      <family val="2"/>
    </font>
    <font>
      <b/>
      <sz val="2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5597"/>
      </patternFill>
    </fill>
    <fill>
      <patternFill patternType="solid">
        <fgColor rgb="FF2E5597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5A623"/>
        <bgColor rgb="FFFFCC00"/>
      </patternFill>
    </fill>
    <fill>
      <patternFill patternType="solid">
        <fgColor rgb="FFFFD07A"/>
        <bgColor rgb="FFFFFF99"/>
      </patternFill>
    </fill>
    <fill>
      <patternFill patternType="solid">
        <fgColor rgb="FF70AD47"/>
        <bgColor rgb="FF878787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375623"/>
      </patternFill>
    </fill>
    <fill>
      <patternFill patternType="solid">
        <fgColor rgb="FFD9D9D9"/>
        <b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3" fillId="2" borderId="0" xfId="0" applyFont="1" applyFill="1" applyAlignment="1">
      <alignment horizontal="center" vertical="center"/>
    </xf>
    <xf numFmtId="0" fontId="0" fillId="13" borderId="0" xfId="0" applyFill="1"/>
    <xf numFmtId="166" fontId="12" fillId="4" borderId="0" xfId="0" applyNumberFormat="1" applyFont="1" applyFill="1" applyAlignment="1">
      <alignment horizontal="center" vertical="center"/>
    </xf>
    <xf numFmtId="166" fontId="11" fillId="4" borderId="0" xfId="0" applyNumberFormat="1" applyFont="1" applyFill="1" applyAlignment="1">
      <alignment horizontal="center" vertical="center"/>
    </xf>
    <xf numFmtId="166" fontId="10" fillId="4" borderId="0" xfId="0" applyNumberFormat="1" applyFont="1" applyFill="1" applyAlignment="1">
      <alignment horizontal="center" vertical="center"/>
    </xf>
    <xf numFmtId="166" fontId="9" fillId="4" borderId="0" xfId="0" applyNumberFormat="1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5" fontId="15" fillId="4" borderId="1" xfId="0" applyNumberFormat="1" applyFont="1" applyFill="1" applyBorder="1" applyAlignment="1">
      <alignment horizontal="center" vertical="center"/>
    </xf>
    <xf numFmtId="167" fontId="15" fillId="4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165" fontId="15" fillId="6" borderId="1" xfId="0" applyNumberFormat="1" applyFont="1" applyFill="1" applyBorder="1" applyAlignment="1">
      <alignment horizontal="center" vertical="center"/>
    </xf>
    <xf numFmtId="167" fontId="15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D07A"/>
      <rgbColor rgb="FF3366FF"/>
      <rgbColor rgb="FF33CCCC"/>
      <rgbColor rgb="FF99CC00"/>
      <rgbColor rgb="FFFFCC00"/>
      <rgbColor rgb="FFF5A623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E5597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Receitas × Despesas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Total Receitas</c:v>
                </c:pt>
              </c:strCache>
            </c:strRef>
          </c:tx>
          <c:spPr>
            <a:solidFill>
              <a:srgbClr val="37562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Dashboard!$B$10:$B$21</c:f>
              <c:numCache>
                <c:formatCode>"R$ "#,##0.00</c:formatCode>
                <c:ptCount val="12"/>
                <c:pt idx="0">
                  <c:v>15800</c:v>
                </c:pt>
                <c:pt idx="1">
                  <c:v>10950</c:v>
                </c:pt>
                <c:pt idx="2">
                  <c:v>15700</c:v>
                </c:pt>
                <c:pt idx="3">
                  <c:v>11100</c:v>
                </c:pt>
                <c:pt idx="4">
                  <c:v>15850</c:v>
                </c:pt>
                <c:pt idx="5">
                  <c:v>10900</c:v>
                </c:pt>
                <c:pt idx="6">
                  <c:v>15750</c:v>
                </c:pt>
                <c:pt idx="7">
                  <c:v>11000</c:v>
                </c:pt>
                <c:pt idx="8">
                  <c:v>15950</c:v>
                </c:pt>
                <c:pt idx="9">
                  <c:v>10800</c:v>
                </c:pt>
                <c:pt idx="10">
                  <c:v>15900</c:v>
                </c:pt>
                <c:pt idx="11">
                  <c:v>11200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8-49CF-977A-A81CB483F8DA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Total Despesas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Dashboard!$C$10:$C$21</c:f>
              <c:numCache>
                <c:formatCode>"R$ "#,##0.00</c:formatCode>
                <c:ptCount val="12"/>
                <c:pt idx="0">
                  <c:v>12900</c:v>
                </c:pt>
                <c:pt idx="1">
                  <c:v>14620</c:v>
                </c:pt>
                <c:pt idx="2">
                  <c:v>13330</c:v>
                </c:pt>
                <c:pt idx="3">
                  <c:v>13010</c:v>
                </c:pt>
                <c:pt idx="4">
                  <c:v>14540</c:v>
                </c:pt>
                <c:pt idx="5">
                  <c:v>13290</c:v>
                </c:pt>
                <c:pt idx="6">
                  <c:v>12900</c:v>
                </c:pt>
                <c:pt idx="7">
                  <c:v>14520</c:v>
                </c:pt>
                <c:pt idx="8">
                  <c:v>13440</c:v>
                </c:pt>
                <c:pt idx="9">
                  <c:v>12860</c:v>
                </c:pt>
                <c:pt idx="10">
                  <c:v>14480</c:v>
                </c:pt>
                <c:pt idx="11">
                  <c:v>13740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58-49CF-977A-A81CB483F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45878"/>
        <c:axId val="92841689"/>
      </c:barChart>
      <c:catAx>
        <c:axId val="34145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92841689"/>
        <c:crosses val="autoZero"/>
        <c:auto val="1"/>
        <c:lblAlgn val="ctr"/>
        <c:lblOffset val="100"/>
        <c:noMultiLvlLbl val="0"/>
      </c:catAx>
      <c:valAx>
        <c:axId val="92841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41458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Evolução do Saldo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Saldo</c:v>
                </c:pt>
              </c:strCache>
            </c:strRef>
          </c:tx>
          <c:spPr>
            <a:ln w="20160">
              <a:solidFill>
                <a:srgbClr val="2E559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Dashboard!$D$10:$D$21</c:f>
              <c:numCache>
                <c:formatCode>"R$ "#,##0.00;"(R$ "#,##0.00\);\-</c:formatCode>
                <c:ptCount val="12"/>
                <c:pt idx="0">
                  <c:v>2900</c:v>
                </c:pt>
                <c:pt idx="1">
                  <c:v>-3670</c:v>
                </c:pt>
                <c:pt idx="2">
                  <c:v>2370</c:v>
                </c:pt>
                <c:pt idx="3">
                  <c:v>-1910</c:v>
                </c:pt>
                <c:pt idx="4">
                  <c:v>1310</c:v>
                </c:pt>
                <c:pt idx="5">
                  <c:v>-2390</c:v>
                </c:pt>
                <c:pt idx="6">
                  <c:v>2850</c:v>
                </c:pt>
                <c:pt idx="7">
                  <c:v>-3520</c:v>
                </c:pt>
                <c:pt idx="8">
                  <c:v>2510</c:v>
                </c:pt>
                <c:pt idx="9">
                  <c:v>-2060</c:v>
                </c:pt>
                <c:pt idx="10">
                  <c:v>1420</c:v>
                </c:pt>
                <c:pt idx="11">
                  <c:v>-2540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0A-4E46-B2B5-61AF37C33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169412"/>
        <c:axId val="37108752"/>
      </c:lineChart>
      <c:catAx>
        <c:axId val="42169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7108752"/>
        <c:crosses val="autoZero"/>
        <c:auto val="1"/>
        <c:lblAlgn val="ctr"/>
        <c:lblOffset val="100"/>
        <c:noMultiLvlLbl val="0"/>
      </c:catAx>
      <c:valAx>
        <c:axId val="37108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Saldo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421694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41564</xdr:colOff>
      <xdr:row>8</xdr:row>
      <xdr:rowOff>0</xdr:rowOff>
    </xdr:from>
    <xdr:to>
      <xdr:col>16</xdr:col>
      <xdr:colOff>514604</xdr:colOff>
      <xdr:row>30</xdr:row>
      <xdr:rowOff>139091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27709</xdr:colOff>
      <xdr:row>31</xdr:row>
      <xdr:rowOff>13854</xdr:rowOff>
    </xdr:from>
    <xdr:to>
      <xdr:col>16</xdr:col>
      <xdr:colOff>500749</xdr:colOff>
      <xdr:row>53</xdr:row>
      <xdr:rowOff>142374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597"/>
  </sheetPr>
  <dimension ref="A1:N22"/>
  <sheetViews>
    <sheetView showGridLines="0" tabSelected="1" zoomScaleNormal="100" workbookViewId="0">
      <selection activeCell="A9" sqref="A9"/>
    </sheetView>
  </sheetViews>
  <sheetFormatPr defaultColWidth="8.6640625" defaultRowHeight="14.4" x14ac:dyDescent="0.3"/>
  <cols>
    <col min="1" max="1" width="24" customWidth="1"/>
    <col min="2" max="13" width="13" customWidth="1"/>
    <col min="14" max="14" width="16" customWidth="1"/>
  </cols>
  <sheetData>
    <row r="1" spans="1:14" ht="3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21.75" customHeight="1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</row>
    <row r="5" spans="1:14" ht="19.5" customHeight="1" x14ac:dyDescent="0.3">
      <c r="A5" s="12" t="s">
        <v>16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3">
      <c r="A6" s="16" t="s">
        <v>17</v>
      </c>
      <c r="B6" s="17">
        <v>8500</v>
      </c>
      <c r="C6" s="17">
        <v>8500</v>
      </c>
      <c r="D6" s="17">
        <v>8500</v>
      </c>
      <c r="E6" s="17">
        <v>8500</v>
      </c>
      <c r="F6" s="17">
        <v>8500</v>
      </c>
      <c r="G6" s="17">
        <v>8500</v>
      </c>
      <c r="H6" s="17">
        <v>8500</v>
      </c>
      <c r="I6" s="17">
        <v>8500</v>
      </c>
      <c r="J6" s="17">
        <v>8500</v>
      </c>
      <c r="K6" s="17">
        <v>8500</v>
      </c>
      <c r="L6" s="17">
        <v>8500</v>
      </c>
      <c r="M6" s="17">
        <v>8500</v>
      </c>
      <c r="N6" s="18">
        <f t="shared" ref="N6:N13" si="0">SUM(B6:M6)</f>
        <v>102000</v>
      </c>
    </row>
    <row r="7" spans="1:14" x14ac:dyDescent="0.3">
      <c r="A7" s="19" t="s">
        <v>18</v>
      </c>
      <c r="B7" s="20">
        <v>2200</v>
      </c>
      <c r="C7" s="20">
        <v>2200</v>
      </c>
      <c r="D7" s="20">
        <v>2400</v>
      </c>
      <c r="E7" s="20">
        <v>2200</v>
      </c>
      <c r="F7" s="20">
        <v>2200</v>
      </c>
      <c r="G7" s="20">
        <v>2400</v>
      </c>
      <c r="H7" s="20">
        <v>2200</v>
      </c>
      <c r="I7" s="20">
        <v>2200</v>
      </c>
      <c r="J7" s="20">
        <v>2400</v>
      </c>
      <c r="K7" s="20">
        <v>2200</v>
      </c>
      <c r="L7" s="20">
        <v>2200</v>
      </c>
      <c r="M7" s="20">
        <v>2400</v>
      </c>
      <c r="N7" s="18">
        <f t="shared" si="0"/>
        <v>27200</v>
      </c>
    </row>
    <row r="8" spans="1:14" x14ac:dyDescent="0.3">
      <c r="A8" s="16" t="s">
        <v>19</v>
      </c>
      <c r="B8" s="17">
        <v>800</v>
      </c>
      <c r="C8" s="17">
        <v>950</v>
      </c>
      <c r="D8" s="17">
        <v>700</v>
      </c>
      <c r="E8" s="17">
        <v>850</v>
      </c>
      <c r="F8" s="17">
        <v>900</v>
      </c>
      <c r="G8" s="17">
        <v>750</v>
      </c>
      <c r="H8" s="17">
        <v>800</v>
      </c>
      <c r="I8" s="17">
        <v>850</v>
      </c>
      <c r="J8" s="17">
        <v>900</v>
      </c>
      <c r="K8" s="17">
        <v>700</v>
      </c>
      <c r="L8" s="17">
        <v>850</v>
      </c>
      <c r="M8" s="17">
        <v>950</v>
      </c>
      <c r="N8" s="18">
        <f t="shared" si="0"/>
        <v>10000</v>
      </c>
    </row>
    <row r="9" spans="1:14" x14ac:dyDescent="0.3">
      <c r="A9" s="19" t="s">
        <v>20</v>
      </c>
      <c r="B9" s="20">
        <v>0</v>
      </c>
      <c r="C9" s="20">
        <v>1500</v>
      </c>
      <c r="D9" s="20">
        <v>0</v>
      </c>
      <c r="E9" s="20">
        <v>0</v>
      </c>
      <c r="F9" s="20">
        <v>1500</v>
      </c>
      <c r="G9" s="20">
        <v>0</v>
      </c>
      <c r="H9" s="20">
        <v>0</v>
      </c>
      <c r="I9" s="20">
        <v>1500</v>
      </c>
      <c r="J9" s="20">
        <v>0</v>
      </c>
      <c r="K9" s="20">
        <v>0</v>
      </c>
      <c r="L9" s="20">
        <v>1500</v>
      </c>
      <c r="M9" s="20">
        <v>0</v>
      </c>
      <c r="N9" s="18">
        <f t="shared" si="0"/>
        <v>6000</v>
      </c>
    </row>
    <row r="10" spans="1:14" x14ac:dyDescent="0.3">
      <c r="A10" s="16" t="s">
        <v>21</v>
      </c>
      <c r="B10" s="17">
        <v>600</v>
      </c>
      <c r="C10" s="17">
        <v>600</v>
      </c>
      <c r="D10" s="17">
        <v>600</v>
      </c>
      <c r="E10" s="17">
        <v>600</v>
      </c>
      <c r="F10" s="17">
        <v>600</v>
      </c>
      <c r="G10" s="17">
        <v>600</v>
      </c>
      <c r="H10" s="17">
        <v>600</v>
      </c>
      <c r="I10" s="17">
        <v>600</v>
      </c>
      <c r="J10" s="17">
        <v>600</v>
      </c>
      <c r="K10" s="17">
        <v>600</v>
      </c>
      <c r="L10" s="17">
        <v>600</v>
      </c>
      <c r="M10" s="17">
        <v>600</v>
      </c>
      <c r="N10" s="18">
        <f t="shared" si="0"/>
        <v>7200</v>
      </c>
    </row>
    <row r="11" spans="1:14" x14ac:dyDescent="0.3">
      <c r="A11" s="19" t="s">
        <v>22</v>
      </c>
      <c r="B11" s="20">
        <v>350</v>
      </c>
      <c r="C11" s="20">
        <v>420</v>
      </c>
      <c r="D11" s="20">
        <v>380</v>
      </c>
      <c r="E11" s="20">
        <v>410</v>
      </c>
      <c r="F11" s="20">
        <v>390</v>
      </c>
      <c r="G11" s="20">
        <v>440</v>
      </c>
      <c r="H11" s="20">
        <v>350</v>
      </c>
      <c r="I11" s="20">
        <v>420</v>
      </c>
      <c r="J11" s="20">
        <v>390</v>
      </c>
      <c r="K11" s="20">
        <v>410</v>
      </c>
      <c r="L11" s="20">
        <v>380</v>
      </c>
      <c r="M11" s="20">
        <v>440</v>
      </c>
      <c r="N11" s="18">
        <f t="shared" si="0"/>
        <v>4780</v>
      </c>
    </row>
    <row r="12" spans="1:14" x14ac:dyDescent="0.3">
      <c r="A12" s="16" t="s">
        <v>23</v>
      </c>
      <c r="B12" s="17">
        <v>450</v>
      </c>
      <c r="C12" s="17">
        <v>450</v>
      </c>
      <c r="D12" s="17">
        <v>450</v>
      </c>
      <c r="E12" s="17">
        <v>450</v>
      </c>
      <c r="F12" s="17">
        <v>450</v>
      </c>
      <c r="G12" s="17">
        <v>450</v>
      </c>
      <c r="H12" s="17">
        <v>450</v>
      </c>
      <c r="I12" s="17">
        <v>450</v>
      </c>
      <c r="J12" s="17">
        <v>450</v>
      </c>
      <c r="K12" s="17">
        <v>450</v>
      </c>
      <c r="L12" s="17">
        <v>450</v>
      </c>
      <c r="M12" s="17">
        <v>450</v>
      </c>
      <c r="N12" s="18">
        <f t="shared" si="0"/>
        <v>5400</v>
      </c>
    </row>
    <row r="13" spans="1:14" x14ac:dyDescent="0.3">
      <c r="A13" s="19" t="s">
        <v>24</v>
      </c>
      <c r="B13" s="20">
        <v>0</v>
      </c>
      <c r="C13" s="20">
        <v>0</v>
      </c>
      <c r="D13" s="20">
        <v>300</v>
      </c>
      <c r="E13" s="20">
        <v>0</v>
      </c>
      <c r="F13" s="20">
        <v>0</v>
      </c>
      <c r="G13" s="20">
        <v>150</v>
      </c>
      <c r="H13" s="20">
        <v>0</v>
      </c>
      <c r="I13" s="20">
        <v>0</v>
      </c>
      <c r="J13" s="20">
        <v>200</v>
      </c>
      <c r="K13" s="20">
        <v>0</v>
      </c>
      <c r="L13" s="20">
        <v>0</v>
      </c>
      <c r="M13" s="20">
        <v>400</v>
      </c>
      <c r="N13" s="18">
        <f t="shared" si="0"/>
        <v>1050</v>
      </c>
    </row>
    <row r="14" spans="1:14" x14ac:dyDescent="0.3">
      <c r="A14" s="21" t="s">
        <v>25</v>
      </c>
      <c r="B14" s="22">
        <f t="shared" ref="B14:N14" si="1">SUM(B6:B13)</f>
        <v>12900</v>
      </c>
      <c r="C14" s="22">
        <f t="shared" si="1"/>
        <v>14620</v>
      </c>
      <c r="D14" s="22">
        <f t="shared" si="1"/>
        <v>13330</v>
      </c>
      <c r="E14" s="22">
        <f t="shared" si="1"/>
        <v>13010</v>
      </c>
      <c r="F14" s="22">
        <f t="shared" si="1"/>
        <v>14540</v>
      </c>
      <c r="G14" s="22">
        <f t="shared" si="1"/>
        <v>13290</v>
      </c>
      <c r="H14" s="22">
        <f t="shared" si="1"/>
        <v>12900</v>
      </c>
      <c r="I14" s="22">
        <f t="shared" si="1"/>
        <v>14520</v>
      </c>
      <c r="J14" s="22">
        <f t="shared" si="1"/>
        <v>13440</v>
      </c>
      <c r="K14" s="22">
        <f t="shared" si="1"/>
        <v>12860</v>
      </c>
      <c r="L14" s="22">
        <f t="shared" si="1"/>
        <v>14480</v>
      </c>
      <c r="M14" s="22">
        <f t="shared" si="1"/>
        <v>13740</v>
      </c>
      <c r="N14" s="22">
        <f t="shared" si="1"/>
        <v>163630</v>
      </c>
    </row>
    <row r="16" spans="1:14" ht="19.5" customHeight="1" x14ac:dyDescent="0.3">
      <c r="A16" s="12" t="s">
        <v>26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3">
      <c r="A17" s="16" t="s">
        <v>27</v>
      </c>
      <c r="B17" s="17">
        <v>10000</v>
      </c>
      <c r="C17" s="17">
        <v>10000</v>
      </c>
      <c r="D17" s="17">
        <v>10000</v>
      </c>
      <c r="E17" s="17">
        <v>10000</v>
      </c>
      <c r="F17" s="17">
        <v>10000</v>
      </c>
      <c r="G17" s="17">
        <v>10000</v>
      </c>
      <c r="H17" s="17">
        <v>10000</v>
      </c>
      <c r="I17" s="17">
        <v>10000</v>
      </c>
      <c r="J17" s="17">
        <v>10000</v>
      </c>
      <c r="K17" s="17">
        <v>10000</v>
      </c>
      <c r="L17" s="17">
        <v>10000</v>
      </c>
      <c r="M17" s="17">
        <v>10000</v>
      </c>
      <c r="N17" s="18">
        <f>SUM(B17:M17)</f>
        <v>120000</v>
      </c>
    </row>
    <row r="18" spans="1:14" x14ac:dyDescent="0.3">
      <c r="A18" s="19" t="s">
        <v>28</v>
      </c>
      <c r="B18" s="20">
        <v>5000</v>
      </c>
      <c r="C18" s="20">
        <v>0</v>
      </c>
      <c r="D18" s="20">
        <v>5000</v>
      </c>
      <c r="E18" s="20">
        <v>0</v>
      </c>
      <c r="F18" s="20">
        <v>5000</v>
      </c>
      <c r="G18" s="20">
        <v>0</v>
      </c>
      <c r="H18" s="20">
        <v>5000</v>
      </c>
      <c r="I18" s="20">
        <v>0</v>
      </c>
      <c r="J18" s="20">
        <v>5000</v>
      </c>
      <c r="K18" s="20">
        <v>0</v>
      </c>
      <c r="L18" s="20">
        <v>5000</v>
      </c>
      <c r="M18" s="20">
        <v>0</v>
      </c>
      <c r="N18" s="18">
        <f>SUM(B18:M18)</f>
        <v>30000</v>
      </c>
    </row>
    <row r="19" spans="1:14" x14ac:dyDescent="0.3">
      <c r="A19" s="16" t="s">
        <v>29</v>
      </c>
      <c r="B19" s="17">
        <v>800</v>
      </c>
      <c r="C19" s="17">
        <v>950</v>
      </c>
      <c r="D19" s="17">
        <v>700</v>
      </c>
      <c r="E19" s="17">
        <v>1100</v>
      </c>
      <c r="F19" s="17">
        <v>850</v>
      </c>
      <c r="G19" s="17">
        <v>900</v>
      </c>
      <c r="H19" s="17">
        <v>750</v>
      </c>
      <c r="I19" s="17">
        <v>1000</v>
      </c>
      <c r="J19" s="17">
        <v>950</v>
      </c>
      <c r="K19" s="17">
        <v>800</v>
      </c>
      <c r="L19" s="17">
        <v>900</v>
      </c>
      <c r="M19" s="17">
        <v>1200</v>
      </c>
      <c r="N19" s="18">
        <f>SUM(B19:M19)</f>
        <v>10900</v>
      </c>
    </row>
    <row r="20" spans="1:14" x14ac:dyDescent="0.3">
      <c r="A20" s="23" t="s">
        <v>30</v>
      </c>
      <c r="B20" s="24">
        <f t="shared" ref="B20:N20" si="2">SUM(B17:B19)</f>
        <v>15800</v>
      </c>
      <c r="C20" s="24">
        <f t="shared" si="2"/>
        <v>10950</v>
      </c>
      <c r="D20" s="24">
        <f t="shared" si="2"/>
        <v>15700</v>
      </c>
      <c r="E20" s="24">
        <f t="shared" si="2"/>
        <v>11100</v>
      </c>
      <c r="F20" s="24">
        <f t="shared" si="2"/>
        <v>15850</v>
      </c>
      <c r="G20" s="24">
        <f t="shared" si="2"/>
        <v>10900</v>
      </c>
      <c r="H20" s="24">
        <f t="shared" si="2"/>
        <v>15750</v>
      </c>
      <c r="I20" s="24">
        <f t="shared" si="2"/>
        <v>11000</v>
      </c>
      <c r="J20" s="24">
        <f t="shared" si="2"/>
        <v>15950</v>
      </c>
      <c r="K20" s="24">
        <f t="shared" si="2"/>
        <v>10800</v>
      </c>
      <c r="L20" s="24">
        <f t="shared" si="2"/>
        <v>15900</v>
      </c>
      <c r="M20" s="24">
        <f t="shared" si="2"/>
        <v>11200</v>
      </c>
      <c r="N20" s="24">
        <f t="shared" si="2"/>
        <v>160900</v>
      </c>
    </row>
    <row r="22" spans="1:14" x14ac:dyDescent="0.3">
      <c r="A22" s="25" t="s">
        <v>31</v>
      </c>
      <c r="B22" s="26">
        <f t="shared" ref="B22:N22" si="3">B20-B14</f>
        <v>2900</v>
      </c>
      <c r="C22" s="26">
        <f t="shared" si="3"/>
        <v>-3670</v>
      </c>
      <c r="D22" s="26">
        <f t="shared" si="3"/>
        <v>2370</v>
      </c>
      <c r="E22" s="26">
        <f t="shared" si="3"/>
        <v>-1910</v>
      </c>
      <c r="F22" s="26">
        <f t="shared" si="3"/>
        <v>1310</v>
      </c>
      <c r="G22" s="26">
        <f t="shared" si="3"/>
        <v>-2390</v>
      </c>
      <c r="H22" s="26">
        <f t="shared" si="3"/>
        <v>2850</v>
      </c>
      <c r="I22" s="26">
        <f t="shared" si="3"/>
        <v>-3520</v>
      </c>
      <c r="J22" s="26">
        <f t="shared" si="3"/>
        <v>2510</v>
      </c>
      <c r="K22" s="26">
        <f t="shared" si="3"/>
        <v>-2060</v>
      </c>
      <c r="L22" s="26">
        <f t="shared" si="3"/>
        <v>1420</v>
      </c>
      <c r="M22" s="26">
        <f t="shared" si="3"/>
        <v>-2540</v>
      </c>
      <c r="N22" s="26">
        <f t="shared" si="3"/>
        <v>-2730</v>
      </c>
    </row>
  </sheetData>
  <mergeCells count="4">
    <mergeCell ref="A1:N1"/>
    <mergeCell ref="A2:N2"/>
    <mergeCell ref="A5:N5"/>
    <mergeCell ref="A16:N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A623"/>
  </sheetPr>
  <dimension ref="A1:P22"/>
  <sheetViews>
    <sheetView showGridLines="0" zoomScale="55" zoomScaleNormal="55" workbookViewId="0">
      <selection activeCell="W27" sqref="W27"/>
    </sheetView>
  </sheetViews>
  <sheetFormatPr defaultColWidth="8.6640625" defaultRowHeight="14.4" x14ac:dyDescent="0.3"/>
  <cols>
    <col min="1" max="5" width="18" customWidth="1"/>
  </cols>
  <sheetData>
    <row r="1" spans="1:16" ht="42" customHeight="1" x14ac:dyDescent="0.3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8" customHeight="1" x14ac:dyDescent="0.3">
      <c r="A2" s="13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21.75" customHeight="1" x14ac:dyDescent="0.3">
      <c r="A4" s="10" t="s">
        <v>34</v>
      </c>
      <c r="B4" s="10"/>
      <c r="C4" s="10"/>
      <c r="D4" s="10"/>
      <c r="E4" s="9" t="s">
        <v>35</v>
      </c>
      <c r="F4" s="9"/>
      <c r="G4" s="9"/>
      <c r="H4" s="9"/>
      <c r="I4" s="8" t="s">
        <v>36</v>
      </c>
      <c r="J4" s="8"/>
      <c r="K4" s="8"/>
      <c r="L4" s="8"/>
      <c r="M4" s="7" t="s">
        <v>37</v>
      </c>
      <c r="N4" s="7"/>
      <c r="O4" s="7"/>
      <c r="P4" s="7"/>
    </row>
    <row r="5" spans="1:16" ht="45.75" customHeight="1" x14ac:dyDescent="0.3">
      <c r="A5" s="6">
        <f>Dados!N20</f>
        <v>160900</v>
      </c>
      <c r="B5" s="6"/>
      <c r="C5" s="6"/>
      <c r="D5" s="6"/>
      <c r="E5" s="5">
        <f>Dados!N14</f>
        <v>163630</v>
      </c>
      <c r="F5" s="5"/>
      <c r="G5" s="5"/>
      <c r="H5" s="5"/>
      <c r="I5" s="4">
        <f>Dados!N22</f>
        <v>-2730</v>
      </c>
      <c r="J5" s="4"/>
      <c r="K5" s="4"/>
      <c r="L5" s="4"/>
      <c r="M5" s="3">
        <f>MAX(Dados!B14:M14)</f>
        <v>14620</v>
      </c>
      <c r="N5" s="3"/>
      <c r="O5" s="3"/>
      <c r="P5" s="3"/>
    </row>
    <row r="6" spans="1:16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8" spans="1:16" ht="24" customHeight="1" x14ac:dyDescent="0.3">
      <c r="A8" s="1" t="s">
        <v>38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5" t="s">
        <v>39</v>
      </c>
      <c r="B9" s="15" t="s">
        <v>40</v>
      </c>
      <c r="C9" s="15" t="s">
        <v>41</v>
      </c>
      <c r="D9" s="15" t="s">
        <v>42</v>
      </c>
      <c r="E9" s="15" t="s">
        <v>43</v>
      </c>
    </row>
    <row r="10" spans="1:16" x14ac:dyDescent="0.3">
      <c r="A10" s="27" t="s">
        <v>3</v>
      </c>
      <c r="B10" s="28">
        <f>Dados!B20</f>
        <v>15800</v>
      </c>
      <c r="C10" s="28">
        <f>Dados!B14</f>
        <v>12900</v>
      </c>
      <c r="D10" s="29">
        <f t="shared" ref="D10:D21" si="0">B10-C10</f>
        <v>2900</v>
      </c>
      <c r="E10" s="30">
        <f t="shared" ref="E10:E22" si="1">IFERROR(C10/B10,0)</f>
        <v>0.81645569620253167</v>
      </c>
    </row>
    <row r="11" spans="1:16" x14ac:dyDescent="0.3">
      <c r="A11" s="31" t="s">
        <v>4</v>
      </c>
      <c r="B11" s="32">
        <f>Dados!C20</f>
        <v>10950</v>
      </c>
      <c r="C11" s="32">
        <f>Dados!C14</f>
        <v>14620</v>
      </c>
      <c r="D11" s="33">
        <f t="shared" si="0"/>
        <v>-3670</v>
      </c>
      <c r="E11" s="34">
        <f t="shared" si="1"/>
        <v>1.3351598173515982</v>
      </c>
    </row>
    <row r="12" spans="1:16" x14ac:dyDescent="0.3">
      <c r="A12" s="27" t="s">
        <v>5</v>
      </c>
      <c r="B12" s="28">
        <f>Dados!D20</f>
        <v>15700</v>
      </c>
      <c r="C12" s="28">
        <f>Dados!D14</f>
        <v>13330</v>
      </c>
      <c r="D12" s="29">
        <f t="shared" si="0"/>
        <v>2370</v>
      </c>
      <c r="E12" s="30">
        <f t="shared" si="1"/>
        <v>0.84904458598726118</v>
      </c>
    </row>
    <row r="13" spans="1:16" x14ac:dyDescent="0.3">
      <c r="A13" s="31" t="s">
        <v>6</v>
      </c>
      <c r="B13" s="32">
        <f>Dados!E20</f>
        <v>11100</v>
      </c>
      <c r="C13" s="32">
        <f>Dados!E14</f>
        <v>13010</v>
      </c>
      <c r="D13" s="33">
        <f t="shared" si="0"/>
        <v>-1910</v>
      </c>
      <c r="E13" s="34">
        <f t="shared" si="1"/>
        <v>1.1720720720720721</v>
      </c>
    </row>
    <row r="14" spans="1:16" x14ac:dyDescent="0.3">
      <c r="A14" s="27" t="s">
        <v>7</v>
      </c>
      <c r="B14" s="28">
        <f>Dados!F20</f>
        <v>15850</v>
      </c>
      <c r="C14" s="28">
        <f>Dados!F14</f>
        <v>14540</v>
      </c>
      <c r="D14" s="29">
        <f t="shared" si="0"/>
        <v>1310</v>
      </c>
      <c r="E14" s="30">
        <f t="shared" si="1"/>
        <v>0.91735015772870665</v>
      </c>
    </row>
    <row r="15" spans="1:16" x14ac:dyDescent="0.3">
      <c r="A15" s="31" t="s">
        <v>8</v>
      </c>
      <c r="B15" s="32">
        <f>Dados!G20</f>
        <v>10900</v>
      </c>
      <c r="C15" s="32">
        <f>Dados!G14</f>
        <v>13290</v>
      </c>
      <c r="D15" s="33">
        <f t="shared" si="0"/>
        <v>-2390</v>
      </c>
      <c r="E15" s="34">
        <f t="shared" si="1"/>
        <v>1.2192660550458716</v>
      </c>
    </row>
    <row r="16" spans="1:16" x14ac:dyDescent="0.3">
      <c r="A16" s="27" t="s">
        <v>9</v>
      </c>
      <c r="B16" s="28">
        <f>Dados!H20</f>
        <v>15750</v>
      </c>
      <c r="C16" s="28">
        <f>Dados!H14</f>
        <v>12900</v>
      </c>
      <c r="D16" s="29">
        <f t="shared" si="0"/>
        <v>2850</v>
      </c>
      <c r="E16" s="30">
        <f t="shared" si="1"/>
        <v>0.81904761904761902</v>
      </c>
    </row>
    <row r="17" spans="1:5" x14ac:dyDescent="0.3">
      <c r="A17" s="31" t="s">
        <v>10</v>
      </c>
      <c r="B17" s="32">
        <f>Dados!I20</f>
        <v>11000</v>
      </c>
      <c r="C17" s="32">
        <f>Dados!I14</f>
        <v>14520</v>
      </c>
      <c r="D17" s="33">
        <f t="shared" si="0"/>
        <v>-3520</v>
      </c>
      <c r="E17" s="34">
        <f t="shared" si="1"/>
        <v>1.32</v>
      </c>
    </row>
    <row r="18" spans="1:5" x14ac:dyDescent="0.3">
      <c r="A18" s="27" t="s">
        <v>11</v>
      </c>
      <c r="B18" s="28">
        <f>Dados!J20</f>
        <v>15950</v>
      </c>
      <c r="C18" s="28">
        <f>Dados!J14</f>
        <v>13440</v>
      </c>
      <c r="D18" s="29">
        <f t="shared" si="0"/>
        <v>2510</v>
      </c>
      <c r="E18" s="30">
        <f t="shared" si="1"/>
        <v>0.84263322884012537</v>
      </c>
    </row>
    <row r="19" spans="1:5" x14ac:dyDescent="0.3">
      <c r="A19" s="31" t="s">
        <v>12</v>
      </c>
      <c r="B19" s="32">
        <f>Dados!K20</f>
        <v>10800</v>
      </c>
      <c r="C19" s="32">
        <f>Dados!K14</f>
        <v>12860</v>
      </c>
      <c r="D19" s="33">
        <f t="shared" si="0"/>
        <v>-2060</v>
      </c>
      <c r="E19" s="34">
        <f t="shared" si="1"/>
        <v>1.1907407407407407</v>
      </c>
    </row>
    <row r="20" spans="1:5" x14ac:dyDescent="0.3">
      <c r="A20" s="27" t="s">
        <v>13</v>
      </c>
      <c r="B20" s="28">
        <f>Dados!L20</f>
        <v>15900</v>
      </c>
      <c r="C20" s="28">
        <f>Dados!L14</f>
        <v>14480</v>
      </c>
      <c r="D20" s="29">
        <f t="shared" si="0"/>
        <v>1420</v>
      </c>
      <c r="E20" s="30">
        <f t="shared" si="1"/>
        <v>0.91069182389937109</v>
      </c>
    </row>
    <row r="21" spans="1:5" x14ac:dyDescent="0.3">
      <c r="A21" s="31" t="s">
        <v>14</v>
      </c>
      <c r="B21" s="32">
        <f>Dados!M20</f>
        <v>11200</v>
      </c>
      <c r="C21" s="32">
        <f>Dados!M14</f>
        <v>13740</v>
      </c>
      <c r="D21" s="33">
        <f t="shared" si="0"/>
        <v>-2540</v>
      </c>
      <c r="E21" s="34">
        <f t="shared" si="1"/>
        <v>1.2267857142857144</v>
      </c>
    </row>
    <row r="22" spans="1:5" x14ac:dyDescent="0.3">
      <c r="A22" s="35" t="s">
        <v>15</v>
      </c>
      <c r="B22" s="36">
        <f>SUM(B10:B21)</f>
        <v>160900</v>
      </c>
      <c r="C22" s="36">
        <f>SUM(C10:C21)</f>
        <v>163630</v>
      </c>
      <c r="D22" s="36">
        <f>SUM(D10:D21)</f>
        <v>-2730</v>
      </c>
      <c r="E22" s="37">
        <f t="shared" si="1"/>
        <v>1.0169670602858918</v>
      </c>
    </row>
  </sheetData>
  <mergeCells count="15">
    <mergeCell ref="A8:P8"/>
    <mergeCell ref="A5:D5"/>
    <mergeCell ref="E5:H5"/>
    <mergeCell ref="I5:L5"/>
    <mergeCell ref="M5:P5"/>
    <mergeCell ref="A6:D6"/>
    <mergeCell ref="E6:H6"/>
    <mergeCell ref="I6:L6"/>
    <mergeCell ref="M6:P6"/>
    <mergeCell ref="A1:P1"/>
    <mergeCell ref="A2:P2"/>
    <mergeCell ref="A4:D4"/>
    <mergeCell ref="E4:H4"/>
    <mergeCell ref="I4:L4"/>
    <mergeCell ref="M4:P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</sheetPr>
  <dimension ref="A1:D13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80" customWidth="1"/>
  </cols>
  <sheetData>
    <row r="1" spans="1:4" ht="31.5" customHeight="1" x14ac:dyDescent="0.3">
      <c r="A1" s="38" t="s">
        <v>44</v>
      </c>
      <c r="B1" s="38"/>
      <c r="C1" s="38"/>
      <c r="D1" s="38"/>
    </row>
    <row r="3" spans="1:4" ht="24" customHeight="1" x14ac:dyDescent="0.3">
      <c r="A3" s="39" t="s">
        <v>45</v>
      </c>
      <c r="B3" s="39"/>
      <c r="C3" s="39"/>
      <c r="D3" s="39"/>
    </row>
    <row r="4" spans="1:4" ht="51.75" customHeight="1" x14ac:dyDescent="0.3">
      <c r="A4" s="40" t="s">
        <v>46</v>
      </c>
      <c r="B4" s="40"/>
      <c r="C4" s="40"/>
      <c r="D4" s="40"/>
    </row>
    <row r="6" spans="1:4" ht="24" customHeight="1" x14ac:dyDescent="0.3">
      <c r="A6" s="39" t="s">
        <v>47</v>
      </c>
      <c r="B6" s="39"/>
      <c r="C6" s="39"/>
      <c r="D6" s="39"/>
    </row>
    <row r="7" spans="1:4" ht="51.75" customHeight="1" x14ac:dyDescent="0.3">
      <c r="A7" s="40" t="s">
        <v>48</v>
      </c>
      <c r="B7" s="40"/>
      <c r="C7" s="40"/>
      <c r="D7" s="40"/>
    </row>
    <row r="9" spans="1:4" ht="24" customHeight="1" x14ac:dyDescent="0.3">
      <c r="A9" s="39" t="s">
        <v>49</v>
      </c>
      <c r="B9" s="39"/>
      <c r="C9" s="39"/>
      <c r="D9" s="39"/>
    </row>
    <row r="10" spans="1:4" ht="51.75" customHeight="1" x14ac:dyDescent="0.3">
      <c r="A10" s="40" t="s">
        <v>50</v>
      </c>
      <c r="B10" s="40"/>
      <c r="C10" s="40"/>
      <c r="D10" s="40"/>
    </row>
    <row r="12" spans="1:4" ht="24" customHeight="1" x14ac:dyDescent="0.3">
      <c r="A12" s="39" t="s">
        <v>51</v>
      </c>
      <c r="B12" s="39"/>
      <c r="C12" s="39"/>
      <c r="D12" s="39"/>
    </row>
    <row r="13" spans="1:4" ht="51.75" customHeight="1" x14ac:dyDescent="0.3">
      <c r="A13" s="40" t="s">
        <v>52</v>
      </c>
      <c r="B13" s="40"/>
      <c r="C13" s="40"/>
      <c r="D13" s="40"/>
    </row>
  </sheetData>
  <mergeCells count="9">
    <mergeCell ref="A9:D9"/>
    <mergeCell ref="A10:D10"/>
    <mergeCell ref="A12:D12"/>
    <mergeCell ref="A13:D13"/>
    <mergeCell ref="A1:D1"/>
    <mergeCell ref="A3:D3"/>
    <mergeCell ref="A4:D4"/>
    <mergeCell ref="A6:D6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Elvis Cavalcante</cp:lastModifiedBy>
  <cp:revision>1</cp:revision>
  <dcterms:created xsi:type="dcterms:W3CDTF">2026-04-07T23:03:34Z</dcterms:created>
  <dcterms:modified xsi:type="dcterms:W3CDTF">2026-04-07T23:16:57Z</dcterms:modified>
  <dc:language>en-US</dc:language>
</cp:coreProperties>
</file>