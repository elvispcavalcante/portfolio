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esenvolvimento\portifolio\projetos\03-framework-ma\"/>
    </mc:Choice>
  </mc:AlternateContent>
  <xr:revisionPtr revIDLastSave="0" documentId="13_ncr:1_{05D5944E-2CCB-4EC1-A348-3CD6CB8A947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Matriz de Resultados" sheetId="1" r:id="rId1"/>
    <sheet name="Painel de Indicadores" sheetId="2" r:id="rId2"/>
    <sheet name="Acompanhamento Mensa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9" i="3" l="1"/>
  <c r="N8" i="3"/>
  <c r="N7" i="3"/>
  <c r="N6" i="3"/>
  <c r="N5" i="3"/>
  <c r="N4" i="3"/>
  <c r="G14" i="1"/>
  <c r="G13" i="1"/>
  <c r="G12" i="1"/>
  <c r="G11" i="1"/>
  <c r="G10" i="1"/>
  <c r="G9" i="1"/>
  <c r="G8" i="1"/>
  <c r="G7" i="1"/>
  <c r="G6" i="1"/>
  <c r="G5" i="1"/>
</calcChain>
</file>

<file path=xl/sharedStrings.xml><?xml version="1.0" encoding="utf-8"?>
<sst xmlns="http://schemas.openxmlformats.org/spreadsheetml/2006/main" count="102" uniqueCount="84">
  <si>
    <t>FRAMEWORK DE MONITORAMENTO &amp; AVALIAÇÃO — PROJETO SOCIAL</t>
  </si>
  <si>
    <t>Matriz de Resultados · Indicadores · Metas · Realizado</t>
  </si>
  <si>
    <t>Nível</t>
  </si>
  <si>
    <t>Descrição</t>
  </si>
  <si>
    <t>Indicador</t>
  </si>
  <si>
    <t>Meio de Verificação</t>
  </si>
  <si>
    <t>Meta Anual</t>
  </si>
  <si>
    <t>Realizado</t>
  </si>
  <si>
    <t>% Alcance</t>
  </si>
  <si>
    <t>IMPACTO</t>
  </si>
  <si>
    <t>Melhoria da qualidade de vida das famílias beneficiárias</t>
  </si>
  <si>
    <t>% famílias com renda &gt;1 SM</t>
  </si>
  <si>
    <t>Pesquisa socioeconômica anual</t>
  </si>
  <si>
    <t>Redução da vulnerabilidade social no território</t>
  </si>
  <si>
    <t>Índice de vulnerabilidade (IVS)</t>
  </si>
  <si>
    <t>Relatório IPEA anual</t>
  </si>
  <si>
    <t>RESULTADO</t>
  </si>
  <si>
    <t>Famílias com acesso a serviços básicos ampliado</t>
  </si>
  <si>
    <t>Nº famílias atendidas</t>
  </si>
  <si>
    <t>Sistema de gestão / CadÚnico</t>
  </si>
  <si>
    <t>Jovens inseridos no mercado de trabalho</t>
  </si>
  <si>
    <t>Nº jovens empregados</t>
  </si>
  <si>
    <t>Declaração do empregador</t>
  </si>
  <si>
    <t>Lideranças comunitárias capacitadas</t>
  </si>
  <si>
    <t>Nº lideranças certificadas</t>
  </si>
  <si>
    <t>Lista de presença + certificado</t>
  </si>
  <si>
    <t>PRODUTO</t>
  </si>
  <si>
    <t>Oficinas de formação realizadas</t>
  </si>
  <si>
    <t>Nº oficinas realizadas</t>
  </si>
  <si>
    <t>Relatório de atividades mensal</t>
  </si>
  <si>
    <t>Famílias cadastradas no programa</t>
  </si>
  <si>
    <t>Nº cadastros realizados</t>
  </si>
  <si>
    <t>Banco de dados interno</t>
  </si>
  <si>
    <t>Materiais educativos distribuídos</t>
  </si>
  <si>
    <t>Nº kits distribuídos</t>
  </si>
  <si>
    <t>Guia de remessa assinado</t>
  </si>
  <si>
    <t>ATIVIDADE</t>
  </si>
  <si>
    <t>Reuniões de planejamento realizadas</t>
  </si>
  <si>
    <t>Nº reuniões com ata</t>
  </si>
  <si>
    <t>Livro de atas</t>
  </si>
  <si>
    <t>Visitas domiciliares executadas</t>
  </si>
  <si>
    <t>Nº visitas registradas</t>
  </si>
  <si>
    <t>Ficha de visita</t>
  </si>
  <si>
    <t>PAINEL DE INDICADORES — SEMÁFORO DE PERFORMANCE</t>
  </si>
  <si>
    <t>Verde = Meta atingida ≥100% | Amarelo = Em andamento 80-99% | Vermelho = Abaixo da meta &lt;80%</t>
  </si>
  <si>
    <t>Meta</t>
  </si>
  <si>
    <t>Status</t>
  </si>
  <si>
    <t>Observação</t>
  </si>
  <si>
    <t>⚠ EM ANDAMENTO</t>
  </si>
  <si>
    <t>Próximo da meta — continuar esforços</t>
  </si>
  <si>
    <t>Parceria com CIEE pode acelerar inserção</t>
  </si>
  <si>
    <t>Lideranças certificadas</t>
  </si>
  <si>
    <t>✔ ATINGIDO</t>
  </si>
  <si>
    <t>Meta atingida!</t>
  </si>
  <si>
    <t>Oficinas realizadas</t>
  </si>
  <si>
    <t>2 oficinas reagendadas para próximo tri.</t>
  </si>
  <si>
    <t>Famílias cadastradas</t>
  </si>
  <si>
    <t>Superou a meta — expandir atendimento</t>
  </si>
  <si>
    <t>Visitas domiciliares</t>
  </si>
  <si>
    <t>Equipe de campo em reforço</t>
  </si>
  <si>
    <t>Reuniões com ata</t>
  </si>
  <si>
    <t>Conforme planejado</t>
  </si>
  <si>
    <t>Materiais distribuídos</t>
  </si>
  <si>
    <t>Reposição de estoque solicitada</t>
  </si>
  <si>
    <t>ACOMPANHAMENTO MENSAL DE ATIVIDADES</t>
  </si>
  <si>
    <t>Atividade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</si>
  <si>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</si>
  <si>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</si>
  <si>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</si>
  <si>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</si>
  <si>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</si>
  <si>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</si>
  <si>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</si>
  <si>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</si>
  <si>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</si>
  <si>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</si>
  <si>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</si>
  <si>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</si>
  <si>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</t>
  </si>
  <si>
    <t>Oficinas de formação</t>
  </si>
  <si>
    <t>Reuniões de equipe</t>
  </si>
  <si>
    <t>Atendimentos individuais</t>
  </si>
  <si>
    <t>Cadastros novos</t>
  </si>
  <si>
    <t>Ações comunitárias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</si>
</sst>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1F3864"/>
      <name val="Arial"/>
      <family val="2"/>
    </font>
    <font>
      <sz val="10"/>
      <color rgb="FF000000"/>
      <name val="Arial"/>
      <family val="2"/>
    </font>
    <font>
      <b/>
      <sz val="10"/>
      <color rgb="FF7F6000"/>
      <name val="Arial"/>
      <family val="2"/>
    </font>
    <font>
      <b/>
      <sz val="10"/>
      <color rgb="FF375623"/>
      <name val="Arial"/>
      <family val="2"/>
    </font>
    <font>
      <b/>
      <sz val="10"/>
      <color rgb="FFFFC000"/>
      <name val="Arial"/>
      <family val="2"/>
    </font>
    <font>
      <b/>
      <sz val="10"/>
      <color rgb="FF595959"/>
      <name val="Arial"/>
      <family val="2"/>
    </font>
    <font>
      <sz val="9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2E5597"/>
      </patternFill>
    </fill>
    <fill>
      <patternFill patternType="solid">
        <fgColor rgb="FF2E5597"/>
        <bgColor rgb="FF1F3864"/>
      </patternFill>
    </fill>
    <fill>
      <patternFill patternType="solid">
        <fgColor rgb="FFDDEEFF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BDD7EE"/>
        <bgColor rgb="FFD9D9D9"/>
      </patternFill>
    </fill>
  </fills>
  <borders count="3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0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9" fontId="6" fillId="5" borderId="2" xfId="0" applyNumberFormat="1" applyFont="1" applyFill="1" applyBorder="1" applyAlignment="1">
      <alignment horizontal="center" vertical="center"/>
    </xf>
    <xf numFmtId="9" fontId="7" fillId="6" borderId="2" xfId="0" applyNumberFormat="1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78787"/>
      <rgbColor rgb="FF9999FF"/>
      <rgbColor rgb="FF993366"/>
      <rgbColor rgb="FFFFF2CC"/>
      <rgbColor rgb="FFDDEE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9F9F9"/>
      <rgbColor rgb="FF99CCFF"/>
      <rgbColor rgb="FFFF99CC"/>
      <rgbColor rgb="FFCC99FF"/>
      <rgbColor rgb="FFD9D9D9"/>
      <rgbColor rgb="FF4F81BD"/>
      <rgbColor rgb="FF33CCCC"/>
      <rgbColor rgb="FF99CC00"/>
      <rgbColor rgb="FFFFC0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597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pt-BR" sz="1800" b="1" u="none" strike="noStrike">
                <a:solidFill>
                  <a:srgbClr val="000000"/>
                </a:solidFill>
                <a:uFillTx/>
                <a:latin typeface="Calibri"/>
              </a:rPr>
              <a:t>% de Alcance por Indicador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'Painel de Indicadores'!$D$4</c:f>
              <c:strCache>
                <c:ptCount val="1"/>
                <c:pt idx="0">
                  <c:v>% Alcance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'Painel de Indicadores'!$A$5:$A$12</c:f>
              <c:strCache>
                <c:ptCount val="8"/>
                <c:pt idx="0">
                  <c:v>Nº famílias atendidas</c:v>
                </c:pt>
                <c:pt idx="1">
                  <c:v>Nº jovens empregados</c:v>
                </c:pt>
                <c:pt idx="2">
                  <c:v>Lideranças certificadas</c:v>
                </c:pt>
                <c:pt idx="3">
                  <c:v>Oficinas realizadas</c:v>
                </c:pt>
                <c:pt idx="4">
                  <c:v>Famílias cadastradas</c:v>
                </c:pt>
                <c:pt idx="5">
                  <c:v>Visitas domiciliares</c:v>
                </c:pt>
                <c:pt idx="6">
                  <c:v>Reuniões com ata</c:v>
                </c:pt>
                <c:pt idx="7">
                  <c:v>Materiais distribuídos</c:v>
                </c:pt>
              </c:strCache>
            </c:strRef>
          </c:cat>
          <c:val>
            <c:numRef>
              <c:f>'Painel de Indicadores'!$D$5:$D$12</c:f>
              <c:numCache>
                <c:formatCode>0%</c:formatCode>
                <c:ptCount val="8"/>
                <c:pt idx="0">
                  <c:v>0.97399999999999998</c:v>
                </c:pt>
                <c:pt idx="1">
                  <c:v>0.92500000000000004</c:v>
                </c:pt>
                <c:pt idx="2">
                  <c:v>1</c:v>
                </c:pt>
                <c:pt idx="3">
                  <c:v>0.91666666666666696</c:v>
                </c:pt>
                <c:pt idx="4">
                  <c:v>1.02</c:v>
                </c:pt>
                <c:pt idx="5">
                  <c:v>0.96458333333333302</c:v>
                </c:pt>
                <c:pt idx="6">
                  <c:v>1</c:v>
                </c:pt>
                <c:pt idx="7">
                  <c:v>0.98333333333333295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47-49C0-9D72-590EE3A78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532872"/>
        <c:axId val="6290976"/>
      </c:barChart>
      <c:catAx>
        <c:axId val="6453287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pt-BR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% Alcance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6290976"/>
        <c:crosses val="autoZero"/>
        <c:auto val="1"/>
        <c:lblAlgn val="ctr"/>
        <c:lblOffset val="100"/>
        <c:noMultiLvlLbl val="0"/>
      </c:catAx>
      <c:valAx>
        <c:axId val="629097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pt-BR"/>
          </a:p>
        </c:txPr>
        <c:crossAx val="6453287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228600</xdr:colOff>
      <xdr:row>3</xdr:row>
      <xdr:rowOff>15240</xdr:rowOff>
    </xdr:from>
    <xdr:to>
      <xdr:col>18</xdr:col>
      <xdr:colOff>107280</xdr:colOff>
      <xdr:row>22</xdr:row>
      <xdr:rowOff>54120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G14"/>
  <sheetViews>
    <sheetView showGridLines="0" tabSelected="1" zoomScaleNormal="100" workbookViewId="0">
      <selection activeCell="A4" sqref="A4:G14"/>
    </sheetView>
  </sheetViews>
  <sheetFormatPr defaultColWidth="8.6640625" defaultRowHeight="14.4" x14ac:dyDescent="0.3"/>
  <cols>
    <col min="1" max="1" width="14" customWidth="1"/>
    <col min="2" max="2" width="44" customWidth="1"/>
    <col min="3" max="3" width="32" customWidth="1"/>
    <col min="4" max="4" width="30" customWidth="1"/>
    <col min="5" max="7" width="12" customWidth="1"/>
  </cols>
  <sheetData>
    <row r="1" spans="1:7" ht="37.5" customHeight="1" x14ac:dyDescent="0.3">
      <c r="A1" s="3" t="s">
        <v>0</v>
      </c>
      <c r="B1" s="3"/>
      <c r="C1" s="3"/>
      <c r="D1" s="3"/>
      <c r="E1" s="3"/>
      <c r="F1" s="3"/>
      <c r="G1" s="3"/>
    </row>
    <row r="2" spans="1:7" ht="18" customHeight="1" x14ac:dyDescent="0.3">
      <c r="A2" s="2" t="s">
        <v>1</v>
      </c>
      <c r="B2" s="2"/>
      <c r="C2" s="2"/>
      <c r="D2" s="2"/>
      <c r="E2" s="2"/>
      <c r="F2" s="2"/>
      <c r="G2" s="2"/>
    </row>
    <row r="4" spans="1:7" ht="24" customHeight="1" x14ac:dyDescent="0.3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spans="1:7" ht="31.5" customHeight="1" x14ac:dyDescent="0.3">
      <c r="A5" s="5" t="s">
        <v>9</v>
      </c>
      <c r="B5" s="6" t="s">
        <v>10</v>
      </c>
      <c r="C5" s="6" t="s">
        <v>11</v>
      </c>
      <c r="D5" s="6" t="s">
        <v>12</v>
      </c>
      <c r="E5" s="7">
        <v>60</v>
      </c>
      <c r="F5" s="7">
        <v>48</v>
      </c>
      <c r="G5" s="8">
        <f t="shared" ref="G5:G14" si="0">IFERROR(F5/E5,0)</f>
        <v>0.8</v>
      </c>
    </row>
    <row r="6" spans="1:7" ht="31.5" customHeight="1" x14ac:dyDescent="0.3">
      <c r="A6" s="5" t="s">
        <v>9</v>
      </c>
      <c r="B6" s="6" t="s">
        <v>13</v>
      </c>
      <c r="C6" s="6" t="s">
        <v>14</v>
      </c>
      <c r="D6" s="6" t="s">
        <v>15</v>
      </c>
      <c r="E6" s="7">
        <v>0.3</v>
      </c>
      <c r="F6" s="7">
        <v>0.35</v>
      </c>
      <c r="G6" s="9">
        <f t="shared" si="0"/>
        <v>1.1666666666666667</v>
      </c>
    </row>
    <row r="7" spans="1:7" ht="31.5" customHeight="1" x14ac:dyDescent="0.3">
      <c r="A7" s="10" t="s">
        <v>16</v>
      </c>
      <c r="B7" s="11" t="s">
        <v>17</v>
      </c>
      <c r="C7" s="11" t="s">
        <v>18</v>
      </c>
      <c r="D7" s="11" t="s">
        <v>19</v>
      </c>
      <c r="E7" s="12">
        <v>500</v>
      </c>
      <c r="F7" s="12">
        <v>487</v>
      </c>
      <c r="G7" s="8">
        <f t="shared" si="0"/>
        <v>0.97399999999999998</v>
      </c>
    </row>
    <row r="8" spans="1:7" ht="31.5" customHeight="1" x14ac:dyDescent="0.3">
      <c r="A8" s="10" t="s">
        <v>16</v>
      </c>
      <c r="B8" s="11" t="s">
        <v>20</v>
      </c>
      <c r="C8" s="11" t="s">
        <v>21</v>
      </c>
      <c r="D8" s="11" t="s">
        <v>22</v>
      </c>
      <c r="E8" s="12">
        <v>80</v>
      </c>
      <c r="F8" s="12">
        <v>74</v>
      </c>
      <c r="G8" s="8">
        <f t="shared" si="0"/>
        <v>0.92500000000000004</v>
      </c>
    </row>
    <row r="9" spans="1:7" ht="31.5" customHeight="1" x14ac:dyDescent="0.3">
      <c r="A9" s="10" t="s">
        <v>16</v>
      </c>
      <c r="B9" s="11" t="s">
        <v>23</v>
      </c>
      <c r="C9" s="11" t="s">
        <v>24</v>
      </c>
      <c r="D9" s="11" t="s">
        <v>25</v>
      </c>
      <c r="E9" s="12">
        <v>40</v>
      </c>
      <c r="F9" s="12">
        <v>40</v>
      </c>
      <c r="G9" s="9">
        <f t="shared" si="0"/>
        <v>1</v>
      </c>
    </row>
    <row r="10" spans="1:7" ht="31.5" customHeight="1" x14ac:dyDescent="0.3">
      <c r="A10" s="13" t="s">
        <v>26</v>
      </c>
      <c r="B10" s="14" t="s">
        <v>27</v>
      </c>
      <c r="C10" s="14" t="s">
        <v>28</v>
      </c>
      <c r="D10" s="14" t="s">
        <v>29</v>
      </c>
      <c r="E10" s="15">
        <v>24</v>
      </c>
      <c r="F10" s="15">
        <v>22</v>
      </c>
      <c r="G10" s="8">
        <f t="shared" si="0"/>
        <v>0.91666666666666663</v>
      </c>
    </row>
    <row r="11" spans="1:7" ht="31.5" customHeight="1" x14ac:dyDescent="0.3">
      <c r="A11" s="13" t="s">
        <v>26</v>
      </c>
      <c r="B11" s="14" t="s">
        <v>30</v>
      </c>
      <c r="C11" s="14" t="s">
        <v>31</v>
      </c>
      <c r="D11" s="14" t="s">
        <v>32</v>
      </c>
      <c r="E11" s="15">
        <v>600</v>
      </c>
      <c r="F11" s="15">
        <v>612</v>
      </c>
      <c r="G11" s="9">
        <f t="shared" si="0"/>
        <v>1.02</v>
      </c>
    </row>
    <row r="12" spans="1:7" ht="31.5" customHeight="1" x14ac:dyDescent="0.3">
      <c r="A12" s="13" t="s">
        <v>26</v>
      </c>
      <c r="B12" s="14" t="s">
        <v>33</v>
      </c>
      <c r="C12" s="14" t="s">
        <v>34</v>
      </c>
      <c r="D12" s="14" t="s">
        <v>35</v>
      </c>
      <c r="E12" s="15">
        <v>1200</v>
      </c>
      <c r="F12" s="15">
        <v>1180</v>
      </c>
      <c r="G12" s="8">
        <f t="shared" si="0"/>
        <v>0.98333333333333328</v>
      </c>
    </row>
    <row r="13" spans="1:7" ht="31.5" customHeight="1" x14ac:dyDescent="0.3">
      <c r="A13" s="16" t="s">
        <v>36</v>
      </c>
      <c r="B13" s="17" t="s">
        <v>37</v>
      </c>
      <c r="C13" s="17" t="s">
        <v>38</v>
      </c>
      <c r="D13" s="17" t="s">
        <v>39</v>
      </c>
      <c r="E13" s="18">
        <v>12</v>
      </c>
      <c r="F13" s="18">
        <v>12</v>
      </c>
      <c r="G13" s="9">
        <f t="shared" si="0"/>
        <v>1</v>
      </c>
    </row>
    <row r="14" spans="1:7" ht="31.5" customHeight="1" x14ac:dyDescent="0.3">
      <c r="A14" s="16" t="s">
        <v>36</v>
      </c>
      <c r="B14" s="17" t="s">
        <v>40</v>
      </c>
      <c r="C14" s="17" t="s">
        <v>41</v>
      </c>
      <c r="D14" s="17" t="s">
        <v>42</v>
      </c>
      <c r="E14" s="18">
        <v>480</v>
      </c>
      <c r="F14" s="18">
        <v>463</v>
      </c>
      <c r="G14" s="8">
        <f t="shared" si="0"/>
        <v>0.96458333333333335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75623"/>
  </sheetPr>
  <dimension ref="A1:F12"/>
  <sheetViews>
    <sheetView showGridLines="0" zoomScaleNormal="100" workbookViewId="0">
      <selection sqref="A1:F1"/>
    </sheetView>
  </sheetViews>
  <sheetFormatPr defaultColWidth="8.6640625" defaultRowHeight="14.4" x14ac:dyDescent="0.3"/>
  <cols>
    <col min="1" max="1" width="32" customWidth="1"/>
    <col min="2" max="2" width="10" customWidth="1"/>
    <col min="3" max="4" width="12" customWidth="1"/>
    <col min="5" max="5" width="18" customWidth="1"/>
    <col min="6" max="6" width="44" customWidth="1"/>
  </cols>
  <sheetData>
    <row r="1" spans="1:6" ht="37.5" customHeight="1" x14ac:dyDescent="0.3">
      <c r="A1" s="3" t="s">
        <v>43</v>
      </c>
      <c r="B1" s="3"/>
      <c r="C1" s="3"/>
      <c r="D1" s="3"/>
      <c r="E1" s="3"/>
      <c r="F1" s="3"/>
    </row>
    <row r="2" spans="1:6" ht="18" customHeight="1" x14ac:dyDescent="0.3">
      <c r="A2" s="1" t="s">
        <v>44</v>
      </c>
      <c r="B2" s="1"/>
      <c r="C2" s="1"/>
      <c r="D2" s="1"/>
      <c r="E2" s="1"/>
      <c r="F2" s="1"/>
    </row>
    <row r="4" spans="1:6" ht="21.75" customHeight="1" x14ac:dyDescent="0.3">
      <c r="A4" s="19" t="s">
        <v>4</v>
      </c>
      <c r="B4" s="19" t="s">
        <v>45</v>
      </c>
      <c r="C4" s="19" t="s">
        <v>7</v>
      </c>
      <c r="D4" s="19" t="s">
        <v>8</v>
      </c>
      <c r="E4" s="19" t="s">
        <v>46</v>
      </c>
      <c r="F4" s="19" t="s">
        <v>47</v>
      </c>
    </row>
    <row r="5" spans="1:6" ht="27.75" customHeight="1" x14ac:dyDescent="0.3">
      <c r="A5" s="20" t="s">
        <v>18</v>
      </c>
      <c r="B5" s="18">
        <v>500</v>
      </c>
      <c r="C5" s="18">
        <v>487</v>
      </c>
      <c r="D5" s="8">
        <v>0.97399999999999998</v>
      </c>
      <c r="E5" s="21" t="s">
        <v>48</v>
      </c>
      <c r="F5" s="17" t="s">
        <v>49</v>
      </c>
    </row>
    <row r="6" spans="1:6" ht="27.75" customHeight="1" x14ac:dyDescent="0.3">
      <c r="A6" s="22" t="s">
        <v>21</v>
      </c>
      <c r="B6" s="23">
        <v>80</v>
      </c>
      <c r="C6" s="23">
        <v>74</v>
      </c>
      <c r="D6" s="8">
        <v>0.92500000000000004</v>
      </c>
      <c r="E6" s="21" t="s">
        <v>48</v>
      </c>
      <c r="F6" s="24" t="s">
        <v>50</v>
      </c>
    </row>
    <row r="7" spans="1:6" ht="27.75" customHeight="1" x14ac:dyDescent="0.3">
      <c r="A7" s="20" t="s">
        <v>51</v>
      </c>
      <c r="B7" s="18">
        <v>40</v>
      </c>
      <c r="C7" s="18">
        <v>40</v>
      </c>
      <c r="D7" s="9">
        <v>1</v>
      </c>
      <c r="E7" s="10" t="s">
        <v>52</v>
      </c>
      <c r="F7" s="17" t="s">
        <v>53</v>
      </c>
    </row>
    <row r="8" spans="1:6" ht="27.75" customHeight="1" x14ac:dyDescent="0.3">
      <c r="A8" s="22" t="s">
        <v>54</v>
      </c>
      <c r="B8" s="23">
        <v>24</v>
      </c>
      <c r="C8" s="23">
        <v>22</v>
      </c>
      <c r="D8" s="8">
        <v>0.91666666666666696</v>
      </c>
      <c r="E8" s="21" t="s">
        <v>48</v>
      </c>
      <c r="F8" s="24" t="s">
        <v>55</v>
      </c>
    </row>
    <row r="9" spans="1:6" ht="27.75" customHeight="1" x14ac:dyDescent="0.3">
      <c r="A9" s="20" t="s">
        <v>56</v>
      </c>
      <c r="B9" s="18">
        <v>600</v>
      </c>
      <c r="C9" s="18">
        <v>612</v>
      </c>
      <c r="D9" s="9">
        <v>1.02</v>
      </c>
      <c r="E9" s="10" t="s">
        <v>52</v>
      </c>
      <c r="F9" s="17" t="s">
        <v>57</v>
      </c>
    </row>
    <row r="10" spans="1:6" ht="27.75" customHeight="1" x14ac:dyDescent="0.3">
      <c r="A10" s="22" t="s">
        <v>58</v>
      </c>
      <c r="B10" s="23">
        <v>480</v>
      </c>
      <c r="C10" s="23">
        <v>463</v>
      </c>
      <c r="D10" s="8">
        <v>0.96458333333333302</v>
      </c>
      <c r="E10" s="21" t="s">
        <v>48</v>
      </c>
      <c r="F10" s="24" t="s">
        <v>59</v>
      </c>
    </row>
    <row r="11" spans="1:6" ht="27.75" customHeight="1" x14ac:dyDescent="0.3">
      <c r="A11" s="20" t="s">
        <v>60</v>
      </c>
      <c r="B11" s="18">
        <v>12</v>
      </c>
      <c r="C11" s="18">
        <v>12</v>
      </c>
      <c r="D11" s="9">
        <v>1</v>
      </c>
      <c r="E11" s="10" t="s">
        <v>52</v>
      </c>
      <c r="F11" s="17" t="s">
        <v>61</v>
      </c>
    </row>
    <row r="12" spans="1:6" ht="27.75" customHeight="1" x14ac:dyDescent="0.3">
      <c r="A12" s="22" t="s">
        <v>62</v>
      </c>
      <c r="B12" s="23">
        <v>1200</v>
      </c>
      <c r="C12" s="23">
        <v>1180</v>
      </c>
      <c r="D12" s="8">
        <v>0.98333333333333295</v>
      </c>
      <c r="E12" s="21" t="s">
        <v>48</v>
      </c>
      <c r="F12" s="24" t="s">
        <v>63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N9"/>
  <sheetViews>
    <sheetView showGridLines="0" zoomScaleNormal="100" workbookViewId="0">
      <selection sqref="A1:N1"/>
    </sheetView>
  </sheetViews>
  <sheetFormatPr defaultColWidth="8.6640625" defaultRowHeight="14.4" x14ac:dyDescent="0.3"/>
  <cols>
    <col min="1" max="1" width="30" customWidth="1"/>
    <col min="2" max="14" width="8" customWidth="1"/>
  </cols>
  <sheetData>
    <row r="1" spans="1:14" ht="37.5" customHeight="1" x14ac:dyDescent="0.3">
      <c r="A1" s="3" t="s">
        <v>64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3" spans="1:14" ht="21.75" customHeight="1" x14ac:dyDescent="0.3">
      <c r="A3" s="4" t="s">
        <v>65</v>
      </c>
      <c r="B3" s="4" t="s">
        <v>66</v>
      </c>
      <c r="C3" s="4" t="s">
        <v>67</v>
      </c>
      <c r="D3" s="4" t="s">
        <v>68</v>
      </c>
      <c r="E3" s="4" t="s">
        <v>69</v>
      </c>
      <c r="F3" s="4" t="s">
        <v>70</v>
      </c>
      <c r="G3" s="4" t="s">
        <v>71</v>
      </c>
      <c r="H3" s="4" t="s">
        <v>72</v>
      </c>
      <c r="I3" s="4" t="s">
        <v>73</v>
      </c>
      <c r="J3" s="4" t="s">
        <v>74</v>
      </c>
      <c r="K3" s="4" t="s">
        <v>75</v>
      </c>
      <c r="L3" s="4" t="s">
        <v>76</v>
      </c>
      <c r="M3" s="4" t="s">
        <v>77</v>
      </c>
      <c r="N3" s="4" t="s">
        <v>78</v>
      </c>
    </row>
    <row r="4" spans="1:14" x14ac:dyDescent="0.3">
      <c r="A4" s="20" t="s">
        <v>79</v>
      </c>
      <c r="B4" s="18">
        <v>2</v>
      </c>
      <c r="C4" s="18">
        <v>2</v>
      </c>
      <c r="D4" s="18">
        <v>2</v>
      </c>
      <c r="E4" s="18">
        <v>2</v>
      </c>
      <c r="F4" s="18">
        <v>2</v>
      </c>
      <c r="G4" s="18">
        <v>2</v>
      </c>
      <c r="H4" s="18">
        <v>2</v>
      </c>
      <c r="I4" s="18">
        <v>2</v>
      </c>
      <c r="J4" s="18">
        <v>2</v>
      </c>
      <c r="K4" s="18">
        <v>2</v>
      </c>
      <c r="L4" s="18">
        <v>2</v>
      </c>
      <c r="M4" s="18">
        <v>2</v>
      </c>
      <c r="N4" s="25">
        <f t="shared" ref="N4:N9" si="0">SUM(B4:M4)</f>
        <v>24</v>
      </c>
    </row>
    <row r="5" spans="1:14" x14ac:dyDescent="0.3">
      <c r="A5" s="22" t="s">
        <v>58</v>
      </c>
      <c r="B5" s="23">
        <v>40</v>
      </c>
      <c r="C5" s="23">
        <v>38</v>
      </c>
      <c r="D5" s="23">
        <v>40</v>
      </c>
      <c r="E5" s="23">
        <v>42</v>
      </c>
      <c r="F5" s="23">
        <v>38</v>
      </c>
      <c r="G5" s="23">
        <v>40</v>
      </c>
      <c r="H5" s="23">
        <v>38</v>
      </c>
      <c r="I5" s="23">
        <v>40</v>
      </c>
      <c r="J5" s="23">
        <v>42</v>
      </c>
      <c r="K5" s="23">
        <v>38</v>
      </c>
      <c r="L5" s="23">
        <v>40</v>
      </c>
      <c r="M5" s="23">
        <v>37</v>
      </c>
      <c r="N5" s="25">
        <f t="shared" si="0"/>
        <v>473</v>
      </c>
    </row>
    <row r="6" spans="1:14" x14ac:dyDescent="0.3">
      <c r="A6" s="20" t="s">
        <v>80</v>
      </c>
      <c r="B6" s="18">
        <v>1</v>
      </c>
      <c r="C6" s="18">
        <v>1</v>
      </c>
      <c r="D6" s="18">
        <v>1</v>
      </c>
      <c r="E6" s="18">
        <v>1</v>
      </c>
      <c r="F6" s="18">
        <v>1</v>
      </c>
      <c r="G6" s="18">
        <v>1</v>
      </c>
      <c r="H6" s="18">
        <v>1</v>
      </c>
      <c r="I6" s="18">
        <v>1</v>
      </c>
      <c r="J6" s="18">
        <v>1</v>
      </c>
      <c r="K6" s="18">
        <v>1</v>
      </c>
      <c r="L6" s="18">
        <v>1</v>
      </c>
      <c r="M6" s="18">
        <v>1</v>
      </c>
      <c r="N6" s="25">
        <f t="shared" si="0"/>
        <v>12</v>
      </c>
    </row>
    <row r="7" spans="1:14" x14ac:dyDescent="0.3">
      <c r="A7" s="22" t="s">
        <v>81</v>
      </c>
      <c r="B7" s="23">
        <v>25</v>
      </c>
      <c r="C7" s="23">
        <v>28</v>
      </c>
      <c r="D7" s="23">
        <v>30</v>
      </c>
      <c r="E7" s="23">
        <v>27</v>
      </c>
      <c r="F7" s="23">
        <v>29</v>
      </c>
      <c r="G7" s="23">
        <v>32</v>
      </c>
      <c r="H7" s="23">
        <v>26</v>
      </c>
      <c r="I7" s="23">
        <v>30</v>
      </c>
      <c r="J7" s="23">
        <v>31</v>
      </c>
      <c r="K7" s="23">
        <v>28</v>
      </c>
      <c r="L7" s="23">
        <v>27</v>
      </c>
      <c r="M7" s="23">
        <v>35</v>
      </c>
      <c r="N7" s="25">
        <f t="shared" si="0"/>
        <v>348</v>
      </c>
    </row>
    <row r="8" spans="1:14" x14ac:dyDescent="0.3">
      <c r="A8" s="20" t="s">
        <v>82</v>
      </c>
      <c r="B8" s="18">
        <v>48</v>
      </c>
      <c r="C8" s="18">
        <v>52</v>
      </c>
      <c r="D8" s="18">
        <v>55</v>
      </c>
      <c r="E8" s="18">
        <v>50</v>
      </c>
      <c r="F8" s="18">
        <v>53</v>
      </c>
      <c r="G8" s="18">
        <v>57</v>
      </c>
      <c r="H8" s="18">
        <v>49</v>
      </c>
      <c r="I8" s="18">
        <v>54</v>
      </c>
      <c r="J8" s="18">
        <v>56</v>
      </c>
      <c r="K8" s="18">
        <v>51</v>
      </c>
      <c r="L8" s="18">
        <v>52</v>
      </c>
      <c r="M8" s="18">
        <v>35</v>
      </c>
      <c r="N8" s="25">
        <f t="shared" si="0"/>
        <v>612</v>
      </c>
    </row>
    <row r="9" spans="1:14" x14ac:dyDescent="0.3">
      <c r="A9" s="22" t="s">
        <v>83</v>
      </c>
      <c r="B9" s="23">
        <v>1</v>
      </c>
      <c r="C9" s="23">
        <v>0</v>
      </c>
      <c r="D9" s="23">
        <v>1</v>
      </c>
      <c r="E9" s="23">
        <v>1</v>
      </c>
      <c r="F9" s="23">
        <v>0</v>
      </c>
      <c r="G9" s="23">
        <v>1</v>
      </c>
      <c r="H9" s="23">
        <v>1</v>
      </c>
      <c r="I9" s="23">
        <v>0</v>
      </c>
      <c r="J9" s="23">
        <v>1</v>
      </c>
      <c r="K9" s="23">
        <v>1</v>
      </c>
      <c r="L9" s="23">
        <v>0</v>
      </c>
      <c r="M9" s="23">
        <v>1</v>
      </c>
      <c r="N9" s="25">
        <f t="shared" si="0"/>
        <v>8</v>
      </c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Matriz de Resultados</vt:lpstr>
      <vt:lpstr>Painel de Indicadores</vt:lpstr>
      <vt:lpstr>Acompanhamento Mensal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Elvis Cavalcante</cp:lastModifiedBy>
  <cp:revision>1</cp:revision>
  <dcterms:created xsi:type="dcterms:W3CDTF">2026-04-07T23:06:01Z</dcterms:created>
  <dcterms:modified xsi:type="dcterms:W3CDTF">2026-04-07T23:48:13Z</dcterms:modified>
  <dc:language>en-US</dc:language>
</cp:coreProperties>
</file>